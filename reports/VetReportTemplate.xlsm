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Users\mail\Documents\GitHub\doglog\reports\"/>
    </mc:Choice>
  </mc:AlternateContent>
  <xr:revisionPtr revIDLastSave="0" documentId="13_ncr:1_{FE7477F2-FC6F-4CB7-8716-BABCF80110B9}" xr6:coauthVersionLast="47" xr6:coauthVersionMax="47" xr10:uidLastSave="{00000000-0000-0000-0000-000000000000}"/>
  <bookViews>
    <workbookView xWindow="780" yWindow="780" windowWidth="21600" windowHeight="11460" xr2:uid="{00000000-000D-0000-FFFF-FFFF00000000}"/>
  </bookViews>
  <sheets>
    <sheet name="Month View" sheetId="1" r:id="rId1"/>
  </sheets>
  <definedNames>
    <definedName name="data_anchor">'Month View'!$AA$1</definedName>
    <definedName name="_xlnm.Print_Area" localSheetId="0">'Month View'!$A$1:$J$54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5" i="1" l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J19" i="1"/>
  <c r="I19" i="1"/>
  <c r="H19" i="1"/>
  <c r="G19" i="1"/>
  <c r="F19" i="1"/>
  <c r="E19" i="1"/>
  <c r="D19" i="1"/>
  <c r="C19" i="1"/>
  <c r="B19" i="1"/>
  <c r="J18" i="1"/>
  <c r="I18" i="1"/>
  <c r="H18" i="1"/>
  <c r="G18" i="1"/>
  <c r="F18" i="1"/>
  <c r="E18" i="1"/>
  <c r="D18" i="1"/>
  <c r="C18" i="1"/>
  <c r="B18" i="1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15" i="1"/>
  <c r="I15" i="1"/>
  <c r="H15" i="1"/>
  <c r="G15" i="1"/>
  <c r="F15" i="1"/>
  <c r="E15" i="1"/>
  <c r="D15" i="1"/>
  <c r="C15" i="1"/>
  <c r="B15" i="1"/>
  <c r="J14" i="1"/>
  <c r="I14" i="1"/>
  <c r="H14" i="1"/>
  <c r="G14" i="1"/>
  <c r="F14" i="1"/>
  <c r="E14" i="1"/>
  <c r="D14" i="1"/>
  <c r="C14" i="1"/>
  <c r="B14" i="1"/>
  <c r="J13" i="1"/>
  <c r="I13" i="1"/>
  <c r="H13" i="1"/>
  <c r="G13" i="1"/>
  <c r="F13" i="1"/>
  <c r="E13" i="1"/>
  <c r="D13" i="1"/>
  <c r="C13" i="1"/>
  <c r="B13" i="1"/>
  <c r="J12" i="1"/>
  <c r="I12" i="1"/>
  <c r="H12" i="1"/>
  <c r="G12" i="1"/>
  <c r="F12" i="1"/>
  <c r="E12" i="1"/>
  <c r="D12" i="1"/>
  <c r="C12" i="1"/>
  <c r="B12" i="1"/>
  <c r="J11" i="1"/>
  <c r="I11" i="1"/>
  <c r="H11" i="1"/>
  <c r="G11" i="1"/>
  <c r="F11" i="1"/>
  <c r="E11" i="1"/>
  <c r="D11" i="1"/>
  <c r="C11" i="1"/>
  <c r="B11" i="1"/>
  <c r="J10" i="1"/>
  <c r="I10" i="1"/>
  <c r="H10" i="1"/>
  <c r="G10" i="1"/>
  <c r="F10" i="1"/>
  <c r="E10" i="1"/>
  <c r="D10" i="1"/>
  <c r="C10" i="1"/>
  <c r="B10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J7" i="1"/>
  <c r="I7" i="1"/>
  <c r="H7" i="1"/>
  <c r="G7" i="1"/>
  <c r="F7" i="1"/>
  <c r="E7" i="1"/>
  <c r="D7" i="1"/>
  <c r="C7" i="1"/>
  <c r="B7" i="1"/>
  <c r="J6" i="1"/>
  <c r="I6" i="1"/>
  <c r="H6" i="1"/>
  <c r="G6" i="1"/>
  <c r="F6" i="1"/>
  <c r="E6" i="1"/>
  <c r="D6" i="1"/>
  <c r="C6" i="1"/>
  <c r="B6" i="1"/>
  <c r="J5" i="1"/>
  <c r="I5" i="1"/>
  <c r="H5" i="1"/>
  <c r="G5" i="1"/>
  <c r="F5" i="1"/>
  <c r="E5" i="1"/>
  <c r="D5" i="1"/>
  <c r="C5" i="1"/>
  <c r="B5" i="1"/>
  <c r="B2" i="1"/>
  <c r="J1" i="1"/>
  <c r="B1" i="1"/>
</calcChain>
</file>

<file path=xl/sharedStrings.xml><?xml version="1.0" encoding="utf-8"?>
<sst xmlns="http://schemas.openxmlformats.org/spreadsheetml/2006/main" count="243" uniqueCount="48">
  <si>
    <t>printed</t>
  </si>
  <si>
    <t>Pickles</t>
  </si>
  <si>
    <t>X</t>
  </si>
  <si>
    <t xml:space="preserve"> = refused</t>
  </si>
  <si>
    <t>May 2026</t>
  </si>
  <si>
    <t>Meals</t>
  </si>
  <si>
    <t xml:space="preserve">day  </t>
  </si>
  <si>
    <t>Brk</t>
  </si>
  <si>
    <t>Snk</t>
  </si>
  <si>
    <t>Lun</t>
  </si>
  <si>
    <t>Din</t>
  </si>
  <si>
    <t>Activity</t>
  </si>
  <si>
    <t>Event</t>
  </si>
  <si>
    <t>Medications</t>
  </si>
  <si>
    <t>ok</t>
  </si>
  <si>
    <t>All given</t>
  </si>
  <si>
    <t>8:00am Vomit – Morning grass, no breakfast, Vomit bile+grass on morning walk. Ate all meals after.</t>
  </si>
  <si>
    <t>50</t>
  </si>
  <si>
    <t>11:00am Activity – Skipped meals, 80mi roundtrip car trip 5hr outing. Low stress, play, high excitement.</t>
  </si>
  <si>
    <t>8:00am Vomit – No breakfast, vomit bile only on morning walk. Ate all meals after.</t>
  </si>
  <si>
    <t>Meal standard menu, effective 1-Apr-2026</t>
  </si>
  <si>
    <t>Medications eff 1-Apr-2026</t>
  </si>
  <si>
    <t>Breakfast</t>
  </si>
  <si>
    <t>Chicken Boiled 2oz, Rice White Boiled 3 Tbs, Bone Broth</t>
  </si>
  <si>
    <t>Sucralfate</t>
  </si>
  <si>
    <t>AM Snack</t>
  </si>
  <si>
    <t>Peanut Butter 2Tbs</t>
  </si>
  <si>
    <t>Morning before food</t>
  </si>
  <si>
    <t>1000mg</t>
  </si>
  <si>
    <t>Lunch</t>
  </si>
  <si>
    <t>Evening before bed</t>
  </si>
  <si>
    <t>500mg</t>
  </si>
  <si>
    <t>EN Gastroenteric Purina PP Vet Diet 2/3 C</t>
  </si>
  <si>
    <t>Dinner</t>
  </si>
  <si>
    <t>PM Snack</t>
  </si>
  <si>
    <t>Notes</t>
  </si>
  <si>
    <t>DIET CHANGE 1-APR: Eliminate Purina Pro Plan Turkey/Rice, Purina One Chicken/Duck</t>
  </si>
  <si>
    <t>Kibble 100% EN Gastroenteric Purina PP Vet Diet, topped with boiled chicken and white rice</t>
  </si>
  <si>
    <t>MEDICATION ADDED 1-APR: Sucralfate 2x daily</t>
  </si>
  <si>
    <t>Meal standard menu, effective 1-Jan-2026</t>
  </si>
  <si>
    <t>Medications eff 1-Jan-2026</t>
  </si>
  <si>
    <t>Purina One Chicken and Duck in gravy</t>
  </si>
  <si>
    <t>Turkey and Rice Purina PP Complete Essentials 1/4 C</t>
  </si>
  <si>
    <t>EN Gastroenteric Purina PP Vet Diet 1/4 C</t>
  </si>
  <si>
    <t>none</t>
  </si>
  <si>
    <t>Turkey and Rice Purina PP Complete Essentials 1/2 C</t>
  </si>
  <si>
    <t>EN Gastroenteric Purina PP Vet Diet 1/2 C</t>
  </si>
  <si>
    <t>EN Gastroenteric Purina PP Vet Diet  1/4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</si>
</sst>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\ d\-mmm"/>
    <numFmt numFmtId="165" formatCode="yyyy\-mm\-dd"/>
  </numFmts>
  <fonts count="4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0" fontId="0" fillId="0" borderId="8" xfId="0" applyBorder="1"/>
    <xf numFmtId="164" fontId="0" fillId="0" borderId="0" xfId="0" applyNumberFormat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5" xfId="0" applyFont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9" xfId="0" applyBorder="1"/>
    <xf numFmtId="165" fontId="0" fillId="0" borderId="0" xfId="0" applyNumberFormat="1"/>
    <xf numFmtId="165" fontId="2" fillId="0" borderId="0" xfId="0" applyNumberFormat="1" applyFont="1"/>
    <xf numFmtId="0" fontId="3" fillId="0" borderId="1" xfId="0" applyFont="1" applyBorder="1" applyAlignment="1">
      <alignment horizontal="center" vertical="center" wrapText="1"/>
    </xf>
    <xf numFmtId="0" fontId="0" fillId="0" borderId="10" xfId="0" applyBorder="1" applyAlignment="1">
      <alignment horizontal="right"/>
    </xf>
    <xf numFmtId="0" fontId="0" fillId="0" borderId="11" xfId="0" applyBorder="1"/>
    <xf numFmtId="0" fontId="0" fillId="0" borderId="5" xfId="0" applyBorder="1" applyAlignment="1">
      <alignment horizontal="left" indent="1"/>
    </xf>
    <xf numFmtId="0" fontId="0" fillId="0" borderId="10" xfId="0" applyBorder="1"/>
    <xf numFmtId="0" fontId="0" fillId="0" borderId="12" xfId="0" applyBorder="1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2" xfId="0" applyBorder="1" applyAlignment="1">
      <alignment horizontal="left" indent="1"/>
    </xf>
    <xf numFmtId="0" fontId="0" fillId="0" borderId="0" xfId="0" applyAlignment="1">
      <alignment wrapText="1"/>
    </xf>
  </cellXfs>
  <cellStyles count="1">
    <cellStyle name="Normal" xfId="0" builtinId="0"/>
  </cellStyles>
  <dxfs count="4">
    <dxf>
      <font>
        <b/>
        <color theme="0"/>
      </font>
      <fill>
        <patternFill>
          <bgColor theme="1"/>
        </patternFill>
      </fill>
    </dxf>
    <dxf>
      <font>
        <b/>
        <color theme="0"/>
      </font>
      <fill>
        <patternFill>
          <bgColor theme="1"/>
        </patternFill>
      </fill>
    </dxf>
    <dxf>
      <font>
        <color theme="0" tint="-0.1498764000366222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I84"/>
  <sheetViews>
    <sheetView showGridLines="0" tabSelected="1" zoomScale="85" zoomScaleNormal="85" workbookViewId="0">
      <selection activeCell="H12" sqref="H12"/>
    </sheetView>
  </sheetViews>
  <sheetFormatPr defaultRowHeight="15" x14ac:dyDescent="0.25"/>
  <cols>
    <col min="1" max="1" width="4.140625" customWidth="1"/>
    <col min="2" max="2" width="11.5703125" bestFit="1" customWidth="1"/>
    <col min="3" max="3" width="3.85546875" bestFit="1" customWidth="1"/>
    <col min="4" max="5" width="4.140625" bestFit="1" customWidth="1"/>
    <col min="6" max="6" width="4" bestFit="1" customWidth="1"/>
    <col min="7" max="7" width="4.140625" bestFit="1" customWidth="1"/>
    <col min="8" max="9" width="35.7109375" customWidth="1"/>
    <col min="10" max="10" width="13.5703125" bestFit="1" customWidth="1"/>
    <col min="12" max="25" width="1.7109375" customWidth="1"/>
    <col min="27" max="27" width="10.42578125" bestFit="1" customWidth="1"/>
    <col min="28" max="32" width="3.140625" bestFit="1" customWidth="1"/>
    <col min="34" max="34" width="14.140625" bestFit="1" customWidth="1"/>
    <col min="35" max="35" width="10.5703125" bestFit="1" customWidth="1"/>
  </cols>
  <sheetData>
    <row r="1" spans="2:35" ht="18.75" customHeight="1" x14ac:dyDescent="0.3">
      <c r="B1" s="1" t="str">
        <f>data_anchor</f>
        <v>Pickles</v>
      </c>
      <c r="I1" s="21" t="s">
        <v>0</v>
      </c>
      <c r="J1" s="22">
        <f ca="1">NOW()</f>
        <v>46176.90159976852</v>
      </c>
      <c r="AA1" s="13" t="s">
        <v>1</v>
      </c>
    </row>
    <row r="2" spans="2:35" ht="18.75" customHeight="1" x14ac:dyDescent="0.3">
      <c r="B2" s="14" t="str">
        <f>AA2</f>
        <v>May 2026</v>
      </c>
      <c r="D2" s="15" t="s">
        <v>2</v>
      </c>
      <c r="E2" t="s">
        <v>3</v>
      </c>
      <c r="AA2" s="13" t="s">
        <v>4</v>
      </c>
    </row>
    <row r="3" spans="2:35" x14ac:dyDescent="0.25">
      <c r="C3" s="2" t="s">
        <v>5</v>
      </c>
      <c r="D3" s="2"/>
      <c r="E3" s="2"/>
      <c r="F3" s="2"/>
      <c r="G3" s="2"/>
      <c r="AA3" s="13"/>
    </row>
    <row r="4" spans="2:35" x14ac:dyDescent="0.25">
      <c r="B4" s="16" t="s">
        <v>6</v>
      </c>
      <c r="C4" t="s">
        <v>7</v>
      </c>
      <c r="D4" t="s">
        <v>8</v>
      </c>
      <c r="E4" t="s">
        <v>9</v>
      </c>
      <c r="F4" t="s">
        <v>10</v>
      </c>
      <c r="G4" t="s">
        <v>8</v>
      </c>
      <c r="H4" t="s">
        <v>11</v>
      </c>
      <c r="I4" t="s">
        <v>12</v>
      </c>
      <c r="J4" t="s">
        <v>13</v>
      </c>
      <c r="AA4" s="13"/>
    </row>
    <row r="5" spans="2:35" x14ac:dyDescent="0.25">
      <c r="B5" s="3">
        <f t="shared" ref="B5:B35" si="0">AA5</f>
        <v>46143</v>
      </c>
      <c r="C5" s="15" t="str">
        <f t="shared" ref="C5:C35" si="1">AB5</f>
        <v>X</v>
      </c>
      <c r="D5" s="15" t="str">
        <f t="shared" ref="D5:D35" si="2">AC5</f>
        <v>ok</v>
      </c>
      <c r="E5" s="15" t="str">
        <f t="shared" ref="E5:E35" si="3">AD5</f>
        <v>ok</v>
      </c>
      <c r="F5" s="15" t="str">
        <f t="shared" ref="F5:F35" si="4">AE5</f>
        <v>ok</v>
      </c>
      <c r="G5" s="15" t="str">
        <f t="shared" ref="G5:G35" si="5">AF5</f>
        <v>ok</v>
      </c>
      <c r="H5" s="4" t="str">
        <f t="shared" ref="H5:H35" si="6">IF(AG5&lt;&gt;0,AG5," ")</f>
        <v xml:space="preserve"> </v>
      </c>
      <c r="I5" s="4" t="str">
        <f t="shared" ref="I5:I35" si="7">IF(AH5&lt;&gt;0,AH5," ")</f>
        <v xml:space="preserve"> </v>
      </c>
      <c r="J5" s="4" t="str">
        <f t="shared" ref="J5:J35" si="8">IF(AI5&lt;&gt;0,AI5," ")</f>
        <v>All given</v>
      </c>
      <c r="AA5" s="13">
        <v>46143</v>
      </c>
      <c r="AB5" t="s">
        <v>2</v>
      </c>
      <c r="AC5" t="s">
        <v>14</v>
      </c>
      <c r="AD5" t="s">
        <v>14</v>
      </c>
      <c r="AE5" t="s">
        <v>14</v>
      </c>
      <c r="AF5" t="s">
        <v>14</v>
      </c>
      <c r="AI5" t="s">
        <v>15</v>
      </c>
    </row>
    <row r="6" spans="2:35" ht="45" x14ac:dyDescent="0.25">
      <c r="B6" s="3">
        <f t="shared" si="0"/>
        <v>46144</v>
      </c>
      <c r="C6" s="15" t="str">
        <f t="shared" si="1"/>
        <v>X</v>
      </c>
      <c r="D6" s="15" t="str">
        <f t="shared" si="2"/>
        <v>ok</v>
      </c>
      <c r="E6" s="15" t="str">
        <f t="shared" si="3"/>
        <v>ok</v>
      </c>
      <c r="F6" s="15" t="str">
        <f t="shared" si="4"/>
        <v>ok</v>
      </c>
      <c r="G6" s="15" t="str">
        <f t="shared" si="5"/>
        <v>ok</v>
      </c>
      <c r="H6" s="4" t="str">
        <f t="shared" si="6"/>
        <v xml:space="preserve"> </v>
      </c>
      <c r="I6" s="4" t="str">
        <f t="shared" si="7"/>
        <v>8:00am Vomit – Morning grass, no breakfast, Vomit bile+grass on morning walk. Ate all meals after.</v>
      </c>
      <c r="J6" s="4" t="str">
        <f t="shared" si="8"/>
        <v>All given</v>
      </c>
      <c r="AA6" s="13">
        <v>46144</v>
      </c>
      <c r="AB6" t="s">
        <v>2</v>
      </c>
      <c r="AC6" t="s">
        <v>14</v>
      </c>
      <c r="AD6" t="s">
        <v>14</v>
      </c>
      <c r="AE6" t="s">
        <v>14</v>
      </c>
      <c r="AF6" t="s">
        <v>14</v>
      </c>
      <c r="AH6" t="s">
        <v>16</v>
      </c>
      <c r="AI6" t="s">
        <v>15</v>
      </c>
    </row>
    <row r="7" spans="2:35" x14ac:dyDescent="0.25">
      <c r="B7" s="3">
        <f t="shared" si="0"/>
        <v>46145</v>
      </c>
      <c r="C7" s="15" t="str">
        <f t="shared" si="1"/>
        <v>ok</v>
      </c>
      <c r="D7" s="15" t="str">
        <f t="shared" si="2"/>
        <v>ok</v>
      </c>
      <c r="E7" s="15" t="str">
        <f t="shared" si="3"/>
        <v>ok</v>
      </c>
      <c r="F7" s="15" t="str">
        <f t="shared" si="4"/>
        <v>ok</v>
      </c>
      <c r="G7" s="15" t="str">
        <f t="shared" si="5"/>
        <v>ok</v>
      </c>
      <c r="H7" s="4" t="str">
        <f t="shared" si="6"/>
        <v xml:space="preserve"> </v>
      </c>
      <c r="I7" s="4" t="str">
        <f t="shared" si="7"/>
        <v xml:space="preserve"> </v>
      </c>
      <c r="J7" s="4" t="str">
        <f t="shared" si="8"/>
        <v>All given</v>
      </c>
      <c r="AA7" s="13">
        <v>46145</v>
      </c>
      <c r="AB7" t="s">
        <v>14</v>
      </c>
      <c r="AC7" t="s">
        <v>14</v>
      </c>
      <c r="AD7" t="s">
        <v>14</v>
      </c>
      <c r="AE7" t="s">
        <v>14</v>
      </c>
      <c r="AF7" t="s">
        <v>14</v>
      </c>
      <c r="AI7" t="s">
        <v>15</v>
      </c>
    </row>
    <row r="8" spans="2:35" x14ac:dyDescent="0.25">
      <c r="B8" s="3">
        <f t="shared" si="0"/>
        <v>46146</v>
      </c>
      <c r="C8" s="15" t="str">
        <f t="shared" si="1"/>
        <v>X</v>
      </c>
      <c r="D8" s="15" t="str">
        <f t="shared" si="2"/>
        <v>ok</v>
      </c>
      <c r="E8" s="15" t="str">
        <f t="shared" si="3"/>
        <v>ok</v>
      </c>
      <c r="F8" s="15" t="str">
        <f t="shared" si="4"/>
        <v>ok</v>
      </c>
      <c r="G8" s="15" t="str">
        <f t="shared" si="5"/>
        <v>ok</v>
      </c>
      <c r="H8" s="4" t="str">
        <f t="shared" si="6"/>
        <v xml:space="preserve"> </v>
      </c>
      <c r="I8" s="4" t="str">
        <f t="shared" si="7"/>
        <v xml:space="preserve"> </v>
      </c>
      <c r="J8" s="4" t="str">
        <f t="shared" si="8"/>
        <v>All given</v>
      </c>
      <c r="AA8" s="13">
        <v>46146</v>
      </c>
      <c r="AB8" t="s">
        <v>2</v>
      </c>
      <c r="AC8" t="s">
        <v>14</v>
      </c>
      <c r="AD8" t="s">
        <v>14</v>
      </c>
      <c r="AE8" t="s">
        <v>14</v>
      </c>
      <c r="AF8" t="s">
        <v>14</v>
      </c>
      <c r="AI8" t="s">
        <v>15</v>
      </c>
    </row>
    <row r="9" spans="2:35" x14ac:dyDescent="0.25">
      <c r="B9" s="3">
        <f t="shared" si="0"/>
        <v>46147</v>
      </c>
      <c r="C9" s="15" t="str">
        <f t="shared" si="1"/>
        <v>X</v>
      </c>
      <c r="D9" s="15" t="str">
        <f t="shared" si="2"/>
        <v>ok</v>
      </c>
      <c r="E9" s="15" t="str">
        <f t="shared" si="3"/>
        <v>ok</v>
      </c>
      <c r="F9" s="15" t="str">
        <f t="shared" si="4"/>
        <v>ok</v>
      </c>
      <c r="G9" s="15" t="str">
        <f t="shared" si="5"/>
        <v>ok</v>
      </c>
      <c r="H9" s="4" t="str">
        <f t="shared" si="6"/>
        <v xml:space="preserve"> </v>
      </c>
      <c r="I9" s="4" t="str">
        <f t="shared" si="7"/>
        <v xml:space="preserve"> </v>
      </c>
      <c r="J9" s="4" t="str">
        <f t="shared" si="8"/>
        <v>All given</v>
      </c>
      <c r="AA9" s="13">
        <v>46147</v>
      </c>
      <c r="AB9" t="s">
        <v>2</v>
      </c>
      <c r="AC9" t="s">
        <v>14</v>
      </c>
      <c r="AD9" t="s">
        <v>14</v>
      </c>
      <c r="AE9" t="s">
        <v>14</v>
      </c>
      <c r="AF9" t="s">
        <v>14</v>
      </c>
      <c r="AI9" t="s">
        <v>15</v>
      </c>
    </row>
    <row r="10" spans="2:35" x14ac:dyDescent="0.25">
      <c r="B10" s="3">
        <f t="shared" si="0"/>
        <v>46148</v>
      </c>
      <c r="C10" s="15" t="str">
        <f t="shared" si="1"/>
        <v>X</v>
      </c>
      <c r="D10" s="15" t="str">
        <f t="shared" si="2"/>
        <v>ok</v>
      </c>
      <c r="E10" s="15" t="str">
        <f t="shared" si="3"/>
        <v>ok</v>
      </c>
      <c r="F10" s="15" t="str">
        <f t="shared" si="4"/>
        <v>ok</v>
      </c>
      <c r="G10" s="15" t="str">
        <f t="shared" si="5"/>
        <v>ok</v>
      </c>
      <c r="H10" s="4" t="str">
        <f t="shared" si="6"/>
        <v xml:space="preserve"> </v>
      </c>
      <c r="I10" s="4" t="str">
        <f t="shared" si="7"/>
        <v xml:space="preserve"> </v>
      </c>
      <c r="J10" s="4" t="str">
        <f t="shared" si="8"/>
        <v>All given</v>
      </c>
      <c r="AA10" s="13">
        <v>46148</v>
      </c>
      <c r="AB10" t="s">
        <v>2</v>
      </c>
      <c r="AC10" t="s">
        <v>14</v>
      </c>
      <c r="AD10" t="s">
        <v>14</v>
      </c>
      <c r="AE10" t="s">
        <v>14</v>
      </c>
      <c r="AF10" t="s">
        <v>14</v>
      </c>
      <c r="AI10" t="s">
        <v>15</v>
      </c>
    </row>
    <row r="11" spans="2:35" x14ac:dyDescent="0.25">
      <c r="B11" s="3">
        <f t="shared" si="0"/>
        <v>46149</v>
      </c>
      <c r="C11" s="15" t="str">
        <f t="shared" si="1"/>
        <v>ok</v>
      </c>
      <c r="D11" s="15" t="str">
        <f t="shared" si="2"/>
        <v>ok</v>
      </c>
      <c r="E11" s="15" t="str">
        <f t="shared" si="3"/>
        <v>ok</v>
      </c>
      <c r="F11" s="15" t="str">
        <f t="shared" si="4"/>
        <v>ok</v>
      </c>
      <c r="G11" s="15" t="str">
        <f t="shared" si="5"/>
        <v>ok</v>
      </c>
      <c r="H11" s="4" t="str">
        <f t="shared" si="6"/>
        <v xml:space="preserve"> </v>
      </c>
      <c r="I11" s="4" t="str">
        <f t="shared" si="7"/>
        <v xml:space="preserve"> </v>
      </c>
      <c r="J11" s="4" t="str">
        <f t="shared" si="8"/>
        <v>All given</v>
      </c>
      <c r="AA11" s="13">
        <v>46149</v>
      </c>
      <c r="AB11" t="s">
        <v>14</v>
      </c>
      <c r="AC11" t="s">
        <v>14</v>
      </c>
      <c r="AD11" t="s">
        <v>14</v>
      </c>
      <c r="AE11" t="s">
        <v>14</v>
      </c>
      <c r="AF11" t="s">
        <v>14</v>
      </c>
      <c r="AI11" t="s">
        <v>15</v>
      </c>
    </row>
    <row r="12" spans="2:35" x14ac:dyDescent="0.25">
      <c r="B12" s="3">
        <f t="shared" si="0"/>
        <v>46150</v>
      </c>
      <c r="C12" s="15" t="str">
        <f t="shared" si="1"/>
        <v>X</v>
      </c>
      <c r="D12" s="15" t="str">
        <f t="shared" si="2"/>
        <v>ok</v>
      </c>
      <c r="E12" s="15" t="str">
        <f t="shared" si="3"/>
        <v>ok</v>
      </c>
      <c r="F12" s="15" t="str">
        <f t="shared" si="4"/>
        <v>ok</v>
      </c>
      <c r="G12" s="15" t="str">
        <f t="shared" si="5"/>
        <v>ok</v>
      </c>
      <c r="H12" s="4" t="str">
        <f t="shared" si="6"/>
        <v xml:space="preserve"> </v>
      </c>
      <c r="I12" s="4" t="str">
        <f t="shared" si="7"/>
        <v xml:space="preserve"> </v>
      </c>
      <c r="J12" s="4" t="str">
        <f t="shared" si="8"/>
        <v>All given</v>
      </c>
      <c r="AA12" s="13">
        <v>46150</v>
      </c>
      <c r="AB12" t="s">
        <v>2</v>
      </c>
      <c r="AC12" t="s">
        <v>14</v>
      </c>
      <c r="AD12" t="s">
        <v>14</v>
      </c>
      <c r="AE12" t="s">
        <v>14</v>
      </c>
      <c r="AF12" t="s">
        <v>14</v>
      </c>
      <c r="AI12" t="s">
        <v>15</v>
      </c>
    </row>
    <row r="13" spans="2:35" x14ac:dyDescent="0.25">
      <c r="B13" s="3">
        <f t="shared" si="0"/>
        <v>46151</v>
      </c>
      <c r="C13" s="15" t="str">
        <f t="shared" si="1"/>
        <v>X</v>
      </c>
      <c r="D13" s="15" t="str">
        <f t="shared" si="2"/>
        <v>ok</v>
      </c>
      <c r="E13" s="15" t="str">
        <f t="shared" si="3"/>
        <v>ok</v>
      </c>
      <c r="F13" s="15" t="str">
        <f t="shared" si="4"/>
        <v>ok</v>
      </c>
      <c r="G13" s="15" t="str">
        <f t="shared" si="5"/>
        <v>ok</v>
      </c>
      <c r="H13" s="4" t="str">
        <f t="shared" si="6"/>
        <v xml:space="preserve"> </v>
      </c>
      <c r="I13" s="4" t="str">
        <f t="shared" si="7"/>
        <v xml:space="preserve"> </v>
      </c>
      <c r="J13" s="4" t="str">
        <f t="shared" si="8"/>
        <v>All given</v>
      </c>
      <c r="AA13" s="13">
        <v>46151</v>
      </c>
      <c r="AB13" t="s">
        <v>2</v>
      </c>
      <c r="AC13" t="s">
        <v>14</v>
      </c>
      <c r="AD13" t="s">
        <v>14</v>
      </c>
      <c r="AE13" t="s">
        <v>14</v>
      </c>
      <c r="AF13" t="s">
        <v>14</v>
      </c>
      <c r="AI13" t="s">
        <v>15</v>
      </c>
    </row>
    <row r="14" spans="2:35" x14ac:dyDescent="0.25">
      <c r="B14" s="3">
        <f t="shared" si="0"/>
        <v>46152</v>
      </c>
      <c r="C14" s="15" t="str">
        <f t="shared" si="1"/>
        <v>ok</v>
      </c>
      <c r="D14" s="15" t="str">
        <f t="shared" si="2"/>
        <v>ok</v>
      </c>
      <c r="E14" s="15" t="str">
        <f t="shared" si="3"/>
        <v>ok</v>
      </c>
      <c r="F14" s="15" t="str">
        <f t="shared" si="4"/>
        <v>ok</v>
      </c>
      <c r="G14" s="15" t="str">
        <f t="shared" si="5"/>
        <v>ok</v>
      </c>
      <c r="H14" s="4" t="str">
        <f t="shared" si="6"/>
        <v xml:space="preserve"> </v>
      </c>
      <c r="I14" s="4" t="str">
        <f t="shared" si="7"/>
        <v xml:space="preserve"> </v>
      </c>
      <c r="J14" s="4" t="str">
        <f t="shared" si="8"/>
        <v>All given</v>
      </c>
      <c r="AA14" s="13">
        <v>46152</v>
      </c>
      <c r="AB14" t="s">
        <v>14</v>
      </c>
      <c r="AC14" t="s">
        <v>14</v>
      </c>
      <c r="AD14" t="s">
        <v>14</v>
      </c>
      <c r="AE14" t="s">
        <v>14</v>
      </c>
      <c r="AF14" t="s">
        <v>14</v>
      </c>
      <c r="AI14" t="s">
        <v>15</v>
      </c>
    </row>
    <row r="15" spans="2:35" x14ac:dyDescent="0.25">
      <c r="B15" s="3">
        <f t="shared" si="0"/>
        <v>46153</v>
      </c>
      <c r="C15" s="15" t="str">
        <f t="shared" si="1"/>
        <v>X</v>
      </c>
      <c r="D15" s="15" t="str">
        <f t="shared" si="2"/>
        <v>ok</v>
      </c>
      <c r="E15" s="15" t="str">
        <f t="shared" si="3"/>
        <v>ok</v>
      </c>
      <c r="F15" s="15" t="str">
        <f t="shared" si="4"/>
        <v>ok</v>
      </c>
      <c r="G15" s="15" t="str">
        <f t="shared" si="5"/>
        <v>ok</v>
      </c>
      <c r="H15" s="4" t="str">
        <f t="shared" si="6"/>
        <v xml:space="preserve"> </v>
      </c>
      <c r="I15" s="4" t="str">
        <f t="shared" si="7"/>
        <v xml:space="preserve"> </v>
      </c>
      <c r="J15" s="4" t="str">
        <f t="shared" si="8"/>
        <v>All given</v>
      </c>
      <c r="AA15" s="13">
        <v>46153</v>
      </c>
      <c r="AB15" t="s">
        <v>2</v>
      </c>
      <c r="AC15" t="s">
        <v>14</v>
      </c>
      <c r="AD15" t="s">
        <v>14</v>
      </c>
      <c r="AE15" t="s">
        <v>14</v>
      </c>
      <c r="AF15" t="s">
        <v>14</v>
      </c>
      <c r="AI15" t="s">
        <v>15</v>
      </c>
    </row>
    <row r="16" spans="2:35" x14ac:dyDescent="0.25">
      <c r="B16" s="3">
        <f t="shared" si="0"/>
        <v>46154</v>
      </c>
      <c r="C16" s="15" t="str">
        <f t="shared" si="1"/>
        <v>X</v>
      </c>
      <c r="D16" s="15" t="str">
        <f t="shared" si="2"/>
        <v>ok</v>
      </c>
      <c r="E16" s="15" t="str">
        <f t="shared" si="3"/>
        <v>ok</v>
      </c>
      <c r="F16" s="15" t="str">
        <f t="shared" si="4"/>
        <v>ok</v>
      </c>
      <c r="G16" s="15" t="str">
        <f t="shared" si="5"/>
        <v>ok</v>
      </c>
      <c r="H16" s="4" t="str">
        <f t="shared" si="6"/>
        <v xml:space="preserve"> </v>
      </c>
      <c r="I16" s="4" t="str">
        <f t="shared" si="7"/>
        <v xml:space="preserve"> </v>
      </c>
      <c r="J16" s="4" t="str">
        <f t="shared" si="8"/>
        <v>All given</v>
      </c>
      <c r="AA16" s="13">
        <v>46154</v>
      </c>
      <c r="AB16" t="s">
        <v>2</v>
      </c>
      <c r="AC16" t="s">
        <v>14</v>
      </c>
      <c r="AD16" t="s">
        <v>14</v>
      </c>
      <c r="AE16" t="s">
        <v>14</v>
      </c>
      <c r="AF16" t="s">
        <v>14</v>
      </c>
      <c r="AI16" t="s">
        <v>15</v>
      </c>
    </row>
    <row r="17" spans="2:35" x14ac:dyDescent="0.25">
      <c r="B17" s="3">
        <f t="shared" si="0"/>
        <v>46155</v>
      </c>
      <c r="C17" s="15" t="str">
        <f t="shared" si="1"/>
        <v>X</v>
      </c>
      <c r="D17" s="15" t="str">
        <f t="shared" si="2"/>
        <v>ok</v>
      </c>
      <c r="E17" s="15" t="str">
        <f t="shared" si="3"/>
        <v>ok</v>
      </c>
      <c r="F17" s="15" t="str">
        <f t="shared" si="4"/>
        <v>ok</v>
      </c>
      <c r="G17" s="15" t="str">
        <f t="shared" si="5"/>
        <v>ok</v>
      </c>
      <c r="H17" s="4" t="str">
        <f t="shared" si="6"/>
        <v xml:space="preserve"> </v>
      </c>
      <c r="I17" s="4" t="str">
        <f t="shared" si="7"/>
        <v xml:space="preserve"> </v>
      </c>
      <c r="J17" s="4" t="str">
        <f t="shared" si="8"/>
        <v>All given</v>
      </c>
      <c r="AA17" s="13">
        <v>46155</v>
      </c>
      <c r="AB17" t="s">
        <v>2</v>
      </c>
      <c r="AC17" t="s">
        <v>14</v>
      </c>
      <c r="AD17" t="s">
        <v>14</v>
      </c>
      <c r="AE17" t="s">
        <v>14</v>
      </c>
      <c r="AF17" t="s">
        <v>14</v>
      </c>
      <c r="AI17" t="s">
        <v>15</v>
      </c>
    </row>
    <row r="18" spans="2:35" x14ac:dyDescent="0.25">
      <c r="B18" s="3">
        <f t="shared" si="0"/>
        <v>46156</v>
      </c>
      <c r="C18" s="15" t="str">
        <f t="shared" si="1"/>
        <v>ok</v>
      </c>
      <c r="D18" s="15" t="str">
        <f t="shared" si="2"/>
        <v>ok</v>
      </c>
      <c r="E18" s="15" t="str">
        <f t="shared" si="3"/>
        <v>ok</v>
      </c>
      <c r="F18" s="15" t="str">
        <f t="shared" si="4"/>
        <v>ok</v>
      </c>
      <c r="G18" s="15" t="str">
        <f t="shared" si="5"/>
        <v>ok</v>
      </c>
      <c r="H18" s="4" t="str">
        <f t="shared" si="6"/>
        <v xml:space="preserve"> </v>
      </c>
      <c r="I18" s="4" t="str">
        <f t="shared" si="7"/>
        <v xml:space="preserve"> </v>
      </c>
      <c r="J18" s="4" t="str">
        <f t="shared" si="8"/>
        <v>All given</v>
      </c>
      <c r="AA18" s="13">
        <v>46156</v>
      </c>
      <c r="AB18" t="s">
        <v>14</v>
      </c>
      <c r="AC18" t="s">
        <v>14</v>
      </c>
      <c r="AD18" t="s">
        <v>14</v>
      </c>
      <c r="AE18" t="s">
        <v>14</v>
      </c>
      <c r="AF18" t="s">
        <v>14</v>
      </c>
      <c r="AI18" t="s">
        <v>15</v>
      </c>
    </row>
    <row r="19" spans="2:35" x14ac:dyDescent="0.25">
      <c r="B19" s="3">
        <f t="shared" si="0"/>
        <v>46157</v>
      </c>
      <c r="C19" s="15" t="str">
        <f t="shared" si="1"/>
        <v>X</v>
      </c>
      <c r="D19" s="15" t="str">
        <f t="shared" si="2"/>
        <v>ok</v>
      </c>
      <c r="E19" s="15" t="str">
        <f t="shared" si="3"/>
        <v>ok</v>
      </c>
      <c r="F19" s="15" t="str">
        <f t="shared" si="4"/>
        <v>ok</v>
      </c>
      <c r="G19" s="15" t="str">
        <f t="shared" si="5"/>
        <v>ok</v>
      </c>
      <c r="H19" s="4" t="str">
        <f t="shared" si="6"/>
        <v xml:space="preserve"> </v>
      </c>
      <c r="I19" s="4" t="str">
        <f t="shared" si="7"/>
        <v xml:space="preserve"> </v>
      </c>
      <c r="J19" s="4" t="str">
        <f t="shared" si="8"/>
        <v>All given</v>
      </c>
      <c r="AA19" s="13">
        <v>46157</v>
      </c>
      <c r="AB19" t="s">
        <v>2</v>
      </c>
      <c r="AC19" t="s">
        <v>14</v>
      </c>
      <c r="AD19" t="s">
        <v>14</v>
      </c>
      <c r="AE19" t="s">
        <v>14</v>
      </c>
      <c r="AF19" t="s">
        <v>14</v>
      </c>
      <c r="AI19" t="s">
        <v>15</v>
      </c>
    </row>
    <row r="20" spans="2:35" x14ac:dyDescent="0.25">
      <c r="B20" s="3">
        <f t="shared" si="0"/>
        <v>46158</v>
      </c>
      <c r="C20" s="15" t="str">
        <f t="shared" si="1"/>
        <v>ok</v>
      </c>
      <c r="D20" s="15" t="str">
        <f t="shared" si="2"/>
        <v>ok</v>
      </c>
      <c r="E20" s="15" t="str">
        <f t="shared" si="3"/>
        <v>ok</v>
      </c>
      <c r="F20" s="15" t="str">
        <f t="shared" si="4"/>
        <v>ok</v>
      </c>
      <c r="G20" s="15" t="str">
        <f t="shared" si="5"/>
        <v>ok</v>
      </c>
      <c r="H20" s="4" t="str">
        <f t="shared" si="6"/>
        <v xml:space="preserve"> </v>
      </c>
      <c r="I20" s="4" t="str">
        <f t="shared" si="7"/>
        <v xml:space="preserve"> </v>
      </c>
      <c r="J20" s="4" t="str">
        <f t="shared" si="8"/>
        <v>All given</v>
      </c>
      <c r="AA20" s="13">
        <v>46158</v>
      </c>
      <c r="AB20" t="s">
        <v>14</v>
      </c>
      <c r="AC20" t="s">
        <v>14</v>
      </c>
      <c r="AD20" t="s">
        <v>14</v>
      </c>
      <c r="AE20" t="s">
        <v>14</v>
      </c>
      <c r="AF20" t="s">
        <v>14</v>
      </c>
      <c r="AI20" t="s">
        <v>15</v>
      </c>
    </row>
    <row r="21" spans="2:35" x14ac:dyDescent="0.25">
      <c r="B21" s="3">
        <f t="shared" si="0"/>
        <v>46159</v>
      </c>
      <c r="C21" s="15" t="str">
        <f t="shared" si="1"/>
        <v>X</v>
      </c>
      <c r="D21" s="15" t="str">
        <f t="shared" si="2"/>
        <v>ok</v>
      </c>
      <c r="E21" s="15" t="str">
        <f t="shared" si="3"/>
        <v>ok</v>
      </c>
      <c r="F21" s="15" t="str">
        <f t="shared" si="4"/>
        <v>ok</v>
      </c>
      <c r="G21" s="15" t="str">
        <f t="shared" si="5"/>
        <v>ok</v>
      </c>
      <c r="H21" s="4" t="str">
        <f t="shared" si="6"/>
        <v xml:space="preserve"> </v>
      </c>
      <c r="I21" s="4" t="str">
        <f t="shared" si="7"/>
        <v xml:space="preserve"> </v>
      </c>
      <c r="J21" s="4" t="str">
        <f t="shared" si="8"/>
        <v>All given</v>
      </c>
      <c r="AA21" s="13">
        <v>46159</v>
      </c>
      <c r="AB21" t="s">
        <v>2</v>
      </c>
      <c r="AC21" t="s">
        <v>14</v>
      </c>
      <c r="AD21" t="s">
        <v>14</v>
      </c>
      <c r="AE21" t="s">
        <v>14</v>
      </c>
      <c r="AF21" t="s">
        <v>14</v>
      </c>
      <c r="AI21" t="s">
        <v>15</v>
      </c>
    </row>
    <row r="22" spans="2:35" x14ac:dyDescent="0.25">
      <c r="B22" s="3">
        <f t="shared" si="0"/>
        <v>46160</v>
      </c>
      <c r="C22" s="15" t="str">
        <f t="shared" si="1"/>
        <v>X</v>
      </c>
      <c r="D22" s="15" t="str">
        <f t="shared" si="2"/>
        <v>ok</v>
      </c>
      <c r="E22" s="15" t="str">
        <f t="shared" si="3"/>
        <v>ok</v>
      </c>
      <c r="F22" s="15" t="str">
        <f t="shared" si="4"/>
        <v>ok</v>
      </c>
      <c r="G22" s="15" t="str">
        <f t="shared" si="5"/>
        <v>ok</v>
      </c>
      <c r="H22" s="4" t="str">
        <f t="shared" si="6"/>
        <v xml:space="preserve"> </v>
      </c>
      <c r="I22" s="4" t="str">
        <f t="shared" si="7"/>
        <v xml:space="preserve"> </v>
      </c>
      <c r="J22" s="4" t="str">
        <f t="shared" si="8"/>
        <v>All given</v>
      </c>
      <c r="AA22" s="13">
        <v>46160</v>
      </c>
      <c r="AB22" t="s">
        <v>2</v>
      </c>
      <c r="AC22" t="s">
        <v>14</v>
      </c>
      <c r="AD22" t="s">
        <v>14</v>
      </c>
      <c r="AE22" t="s">
        <v>14</v>
      </c>
      <c r="AF22" t="s">
        <v>14</v>
      </c>
      <c r="AI22" t="s">
        <v>15</v>
      </c>
    </row>
    <row r="23" spans="2:35" x14ac:dyDescent="0.25">
      <c r="B23" s="3">
        <f t="shared" si="0"/>
        <v>46161</v>
      </c>
      <c r="C23" s="15" t="str">
        <f t="shared" si="1"/>
        <v>X</v>
      </c>
      <c r="D23" s="15" t="str">
        <f t="shared" si="2"/>
        <v>ok</v>
      </c>
      <c r="E23" s="15" t="str">
        <f t="shared" si="3"/>
        <v>ok</v>
      </c>
      <c r="F23" s="15" t="str">
        <f t="shared" si="4"/>
        <v>ok</v>
      </c>
      <c r="G23" s="15" t="str">
        <f t="shared" si="5"/>
        <v>ok</v>
      </c>
      <c r="H23" s="4" t="str">
        <f t="shared" si="6"/>
        <v xml:space="preserve"> </v>
      </c>
      <c r="I23" s="4" t="str">
        <f t="shared" si="7"/>
        <v xml:space="preserve"> </v>
      </c>
      <c r="J23" s="4" t="str">
        <f t="shared" si="8"/>
        <v>All given</v>
      </c>
      <c r="AA23" s="13">
        <v>46161</v>
      </c>
      <c r="AB23" t="s">
        <v>2</v>
      </c>
      <c r="AC23" t="s">
        <v>14</v>
      </c>
      <c r="AD23" t="s">
        <v>14</v>
      </c>
      <c r="AE23" t="s">
        <v>14</v>
      </c>
      <c r="AF23" t="s">
        <v>14</v>
      </c>
      <c r="AI23" t="s">
        <v>15</v>
      </c>
    </row>
    <row r="24" spans="2:35" x14ac:dyDescent="0.25">
      <c r="B24" s="3">
        <f t="shared" si="0"/>
        <v>46162</v>
      </c>
      <c r="C24" s="15" t="str">
        <f t="shared" si="1"/>
        <v>X</v>
      </c>
      <c r="D24" s="15" t="str">
        <f t="shared" si="2"/>
        <v>ok</v>
      </c>
      <c r="E24" s="15" t="str">
        <f t="shared" si="3"/>
        <v>ok</v>
      </c>
      <c r="F24" s="15" t="str">
        <f t="shared" si="4"/>
        <v>ok</v>
      </c>
      <c r="G24" s="15" t="str">
        <f t="shared" si="5"/>
        <v>ok</v>
      </c>
      <c r="H24" s="4" t="str">
        <f t="shared" si="6"/>
        <v xml:space="preserve"> </v>
      </c>
      <c r="I24" s="4" t="str">
        <f t="shared" si="7"/>
        <v xml:space="preserve"> </v>
      </c>
      <c r="J24" s="4" t="str">
        <f t="shared" si="8"/>
        <v>All given</v>
      </c>
      <c r="AA24" s="13">
        <v>46162</v>
      </c>
      <c r="AB24" t="s">
        <v>2</v>
      </c>
      <c r="AC24" t="s">
        <v>14</v>
      </c>
      <c r="AD24" t="s">
        <v>14</v>
      </c>
      <c r="AE24" t="s">
        <v>14</v>
      </c>
      <c r="AF24" t="s">
        <v>14</v>
      </c>
      <c r="AI24" t="s">
        <v>15</v>
      </c>
    </row>
    <row r="25" spans="2:35" ht="45" x14ac:dyDescent="0.25">
      <c r="B25" s="3">
        <f t="shared" si="0"/>
        <v>46163</v>
      </c>
      <c r="C25" s="15" t="str">
        <f t="shared" si="1"/>
        <v>X</v>
      </c>
      <c r="D25" s="15" t="str">
        <f t="shared" si="2"/>
        <v>ok</v>
      </c>
      <c r="E25" s="15" t="str">
        <f t="shared" si="3"/>
        <v>50</v>
      </c>
      <c r="F25" s="15" t="str">
        <f t="shared" si="4"/>
        <v>X</v>
      </c>
      <c r="G25" s="15" t="str">
        <f t="shared" si="5"/>
        <v>ok</v>
      </c>
      <c r="H25" s="4" t="str">
        <f t="shared" si="6"/>
        <v>11:00am Activity – Skipped meals, 80mi roundtrip car trip 5hr outing. Low stress, play, high excitement.</v>
      </c>
      <c r="I25" s="4" t="str">
        <f t="shared" si="7"/>
        <v xml:space="preserve"> </v>
      </c>
      <c r="J25" s="4" t="str">
        <f t="shared" si="8"/>
        <v>All given</v>
      </c>
      <c r="AA25" s="13">
        <v>46163</v>
      </c>
      <c r="AB25" t="s">
        <v>2</v>
      </c>
      <c r="AC25" t="s">
        <v>14</v>
      </c>
      <c r="AD25" t="s">
        <v>17</v>
      </c>
      <c r="AE25" t="s">
        <v>2</v>
      </c>
      <c r="AF25" t="s">
        <v>14</v>
      </c>
      <c r="AG25" t="s">
        <v>18</v>
      </c>
      <c r="AI25" t="s">
        <v>15</v>
      </c>
    </row>
    <row r="26" spans="2:35" x14ac:dyDescent="0.25">
      <c r="B26" s="3">
        <f t="shared" si="0"/>
        <v>46164</v>
      </c>
      <c r="C26" s="15" t="str">
        <f t="shared" si="1"/>
        <v>ok</v>
      </c>
      <c r="D26" s="15" t="str">
        <f t="shared" si="2"/>
        <v>ok</v>
      </c>
      <c r="E26" s="15" t="str">
        <f t="shared" si="3"/>
        <v>ok</v>
      </c>
      <c r="F26" s="15" t="str">
        <f t="shared" si="4"/>
        <v>ok</v>
      </c>
      <c r="G26" s="15" t="str">
        <f t="shared" si="5"/>
        <v>ok</v>
      </c>
      <c r="H26" s="4" t="str">
        <f t="shared" si="6"/>
        <v xml:space="preserve"> </v>
      </c>
      <c r="I26" s="4" t="str">
        <f t="shared" si="7"/>
        <v xml:space="preserve"> </v>
      </c>
      <c r="J26" s="4" t="str">
        <f t="shared" si="8"/>
        <v>All given</v>
      </c>
      <c r="AA26" s="13">
        <v>46164</v>
      </c>
      <c r="AB26" t="s">
        <v>14</v>
      </c>
      <c r="AC26" t="s">
        <v>14</v>
      </c>
      <c r="AD26" t="s">
        <v>14</v>
      </c>
      <c r="AE26" t="s">
        <v>14</v>
      </c>
      <c r="AF26" t="s">
        <v>14</v>
      </c>
      <c r="AI26" t="s">
        <v>15</v>
      </c>
    </row>
    <row r="27" spans="2:35" x14ac:dyDescent="0.25">
      <c r="B27" s="3">
        <f t="shared" si="0"/>
        <v>46165</v>
      </c>
      <c r="C27" s="15" t="str">
        <f t="shared" si="1"/>
        <v>X</v>
      </c>
      <c r="D27" s="15" t="str">
        <f t="shared" si="2"/>
        <v>ok</v>
      </c>
      <c r="E27" s="15" t="str">
        <f t="shared" si="3"/>
        <v>ok</v>
      </c>
      <c r="F27" s="15" t="str">
        <f t="shared" si="4"/>
        <v>ok</v>
      </c>
      <c r="G27" s="15" t="str">
        <f t="shared" si="5"/>
        <v>ok</v>
      </c>
      <c r="H27" s="4" t="str">
        <f t="shared" si="6"/>
        <v xml:space="preserve"> </v>
      </c>
      <c r="I27" s="4" t="str">
        <f t="shared" si="7"/>
        <v xml:space="preserve"> </v>
      </c>
      <c r="J27" s="4" t="str">
        <f t="shared" si="8"/>
        <v>All given</v>
      </c>
      <c r="AA27" s="13">
        <v>46165</v>
      </c>
      <c r="AB27" t="s">
        <v>2</v>
      </c>
      <c r="AC27" t="s">
        <v>14</v>
      </c>
      <c r="AD27" t="s">
        <v>14</v>
      </c>
      <c r="AE27" t="s">
        <v>14</v>
      </c>
      <c r="AF27" t="s">
        <v>14</v>
      </c>
      <c r="AI27" t="s">
        <v>15</v>
      </c>
    </row>
    <row r="28" spans="2:35" x14ac:dyDescent="0.25">
      <c r="B28" s="3">
        <f t="shared" si="0"/>
        <v>46166</v>
      </c>
      <c r="C28" s="15" t="str">
        <f t="shared" si="1"/>
        <v>X</v>
      </c>
      <c r="D28" s="15" t="str">
        <f t="shared" si="2"/>
        <v>ok</v>
      </c>
      <c r="E28" s="15" t="str">
        <f t="shared" si="3"/>
        <v>ok</v>
      </c>
      <c r="F28" s="15" t="str">
        <f t="shared" si="4"/>
        <v>ok</v>
      </c>
      <c r="G28" s="15" t="str">
        <f t="shared" si="5"/>
        <v>ok</v>
      </c>
      <c r="H28" s="4" t="str">
        <f t="shared" si="6"/>
        <v xml:space="preserve"> </v>
      </c>
      <c r="I28" s="4" t="str">
        <f t="shared" si="7"/>
        <v xml:space="preserve"> </v>
      </c>
      <c r="J28" s="4" t="str">
        <f t="shared" si="8"/>
        <v>All given</v>
      </c>
      <c r="AA28" s="13">
        <v>46166</v>
      </c>
      <c r="AB28" t="s">
        <v>2</v>
      </c>
      <c r="AC28" t="s">
        <v>14</v>
      </c>
      <c r="AD28" t="s">
        <v>14</v>
      </c>
      <c r="AE28" t="s">
        <v>14</v>
      </c>
      <c r="AF28" t="s">
        <v>14</v>
      </c>
      <c r="AI28" t="s">
        <v>15</v>
      </c>
    </row>
    <row r="29" spans="2:35" x14ac:dyDescent="0.25">
      <c r="B29" s="3">
        <f t="shared" si="0"/>
        <v>46167</v>
      </c>
      <c r="C29" s="15" t="str">
        <f t="shared" si="1"/>
        <v>X</v>
      </c>
      <c r="D29" s="15" t="str">
        <f t="shared" si="2"/>
        <v>ok</v>
      </c>
      <c r="E29" s="15" t="str">
        <f t="shared" si="3"/>
        <v>ok</v>
      </c>
      <c r="F29" s="15" t="str">
        <f t="shared" si="4"/>
        <v>ok</v>
      </c>
      <c r="G29" s="15" t="str">
        <f t="shared" si="5"/>
        <v>ok</v>
      </c>
      <c r="H29" s="4" t="str">
        <f t="shared" si="6"/>
        <v xml:space="preserve"> </v>
      </c>
      <c r="I29" s="4" t="str">
        <f t="shared" si="7"/>
        <v xml:space="preserve"> </v>
      </c>
      <c r="J29" s="4" t="str">
        <f t="shared" si="8"/>
        <v>All given</v>
      </c>
      <c r="AA29" s="13">
        <v>46167</v>
      </c>
      <c r="AB29" t="s">
        <v>2</v>
      </c>
      <c r="AC29" t="s">
        <v>14</v>
      </c>
      <c r="AD29" t="s">
        <v>14</v>
      </c>
      <c r="AE29" t="s">
        <v>14</v>
      </c>
      <c r="AF29" t="s">
        <v>14</v>
      </c>
      <c r="AI29" t="s">
        <v>15</v>
      </c>
    </row>
    <row r="30" spans="2:35" x14ac:dyDescent="0.25">
      <c r="B30" s="3">
        <f t="shared" si="0"/>
        <v>46168</v>
      </c>
      <c r="C30" s="15" t="str">
        <f t="shared" si="1"/>
        <v>ok</v>
      </c>
      <c r="D30" s="15" t="str">
        <f t="shared" si="2"/>
        <v>ok</v>
      </c>
      <c r="E30" s="15" t="str">
        <f t="shared" si="3"/>
        <v>ok</v>
      </c>
      <c r="F30" s="15" t="str">
        <f t="shared" si="4"/>
        <v>ok</v>
      </c>
      <c r="G30" s="15" t="str">
        <f t="shared" si="5"/>
        <v>ok</v>
      </c>
      <c r="H30" s="4" t="str">
        <f t="shared" si="6"/>
        <v xml:space="preserve"> </v>
      </c>
      <c r="I30" s="4" t="str">
        <f t="shared" si="7"/>
        <v xml:space="preserve"> </v>
      </c>
      <c r="J30" s="4" t="str">
        <f t="shared" si="8"/>
        <v>All given</v>
      </c>
      <c r="AA30" s="13">
        <v>46168</v>
      </c>
      <c r="AB30" t="s">
        <v>14</v>
      </c>
      <c r="AC30" t="s">
        <v>14</v>
      </c>
      <c r="AD30" t="s">
        <v>14</v>
      </c>
      <c r="AE30" t="s">
        <v>14</v>
      </c>
      <c r="AF30" t="s">
        <v>14</v>
      </c>
      <c r="AI30" t="s">
        <v>15</v>
      </c>
    </row>
    <row r="31" spans="2:35" x14ac:dyDescent="0.25">
      <c r="B31" s="3">
        <f t="shared" si="0"/>
        <v>46169</v>
      </c>
      <c r="C31" s="15" t="str">
        <f t="shared" si="1"/>
        <v>X</v>
      </c>
      <c r="D31" s="15" t="str">
        <f t="shared" si="2"/>
        <v>ok</v>
      </c>
      <c r="E31" s="15" t="str">
        <f t="shared" si="3"/>
        <v>ok</v>
      </c>
      <c r="F31" s="15" t="str">
        <f t="shared" si="4"/>
        <v>ok</v>
      </c>
      <c r="G31" s="15" t="str">
        <f t="shared" si="5"/>
        <v>ok</v>
      </c>
      <c r="H31" s="4" t="str">
        <f t="shared" si="6"/>
        <v xml:space="preserve"> </v>
      </c>
      <c r="I31" s="4" t="str">
        <f t="shared" si="7"/>
        <v xml:space="preserve"> </v>
      </c>
      <c r="J31" s="4" t="str">
        <f t="shared" si="8"/>
        <v>All given</v>
      </c>
      <c r="AA31" s="13">
        <v>46169</v>
      </c>
      <c r="AB31" t="s">
        <v>2</v>
      </c>
      <c r="AC31" t="s">
        <v>14</v>
      </c>
      <c r="AD31" t="s">
        <v>14</v>
      </c>
      <c r="AE31" t="s">
        <v>14</v>
      </c>
      <c r="AF31" t="s">
        <v>14</v>
      </c>
      <c r="AI31" t="s">
        <v>15</v>
      </c>
    </row>
    <row r="32" spans="2:35" ht="45" x14ac:dyDescent="0.25">
      <c r="B32" s="3">
        <f t="shared" si="0"/>
        <v>46170</v>
      </c>
      <c r="C32" s="15" t="str">
        <f t="shared" si="1"/>
        <v>X</v>
      </c>
      <c r="D32" s="15" t="str">
        <f t="shared" si="2"/>
        <v>ok</v>
      </c>
      <c r="E32" s="15" t="str">
        <f t="shared" si="3"/>
        <v>ok</v>
      </c>
      <c r="F32" s="15" t="str">
        <f t="shared" si="4"/>
        <v>ok</v>
      </c>
      <c r="G32" s="15" t="str">
        <f t="shared" si="5"/>
        <v>ok</v>
      </c>
      <c r="H32" s="4" t="str">
        <f t="shared" si="6"/>
        <v xml:space="preserve"> </v>
      </c>
      <c r="I32" s="4" t="str">
        <f t="shared" si="7"/>
        <v>8:00am Vomit – No breakfast, vomit bile only on morning walk. Ate all meals after.</v>
      </c>
      <c r="J32" s="4" t="str">
        <f t="shared" si="8"/>
        <v>All given</v>
      </c>
      <c r="AA32" s="13">
        <v>46170</v>
      </c>
      <c r="AB32" t="s">
        <v>2</v>
      </c>
      <c r="AC32" t="s">
        <v>14</v>
      </c>
      <c r="AD32" t="s">
        <v>14</v>
      </c>
      <c r="AE32" t="s">
        <v>14</v>
      </c>
      <c r="AF32" t="s">
        <v>14</v>
      </c>
      <c r="AH32" t="s">
        <v>19</v>
      </c>
      <c r="AI32" t="s">
        <v>15</v>
      </c>
    </row>
    <row r="33" spans="2:35" x14ac:dyDescent="0.25">
      <c r="B33" s="3">
        <f t="shared" si="0"/>
        <v>46171</v>
      </c>
      <c r="C33" s="15" t="str">
        <f t="shared" si="1"/>
        <v>X</v>
      </c>
      <c r="D33" s="15" t="str">
        <f t="shared" si="2"/>
        <v>ok</v>
      </c>
      <c r="E33" s="15" t="str">
        <f t="shared" si="3"/>
        <v>ok</v>
      </c>
      <c r="F33" s="15" t="str">
        <f t="shared" si="4"/>
        <v>ok</v>
      </c>
      <c r="G33" s="15" t="str">
        <f t="shared" si="5"/>
        <v>ok</v>
      </c>
      <c r="H33" s="4" t="str">
        <f t="shared" si="6"/>
        <v xml:space="preserve"> </v>
      </c>
      <c r="I33" s="4" t="str">
        <f t="shared" si="7"/>
        <v xml:space="preserve"> </v>
      </c>
      <c r="J33" s="4" t="str">
        <f t="shared" si="8"/>
        <v>All given</v>
      </c>
      <c r="AA33" s="13">
        <v>46171</v>
      </c>
      <c r="AB33" t="s">
        <v>2</v>
      </c>
      <c r="AC33" t="s">
        <v>14</v>
      </c>
      <c r="AD33" t="s">
        <v>14</v>
      </c>
      <c r="AE33" t="s">
        <v>14</v>
      </c>
      <c r="AF33" t="s">
        <v>14</v>
      </c>
      <c r="AI33" t="s">
        <v>15</v>
      </c>
    </row>
    <row r="34" spans="2:35" x14ac:dyDescent="0.25">
      <c r="B34" s="3">
        <f t="shared" si="0"/>
        <v>46172</v>
      </c>
      <c r="C34" s="15" t="str">
        <f t="shared" si="1"/>
        <v>X</v>
      </c>
      <c r="D34" s="15" t="str">
        <f t="shared" si="2"/>
        <v>ok</v>
      </c>
      <c r="E34" s="15" t="str">
        <f t="shared" si="3"/>
        <v>ok</v>
      </c>
      <c r="F34" s="15" t="str">
        <f t="shared" si="4"/>
        <v>ok</v>
      </c>
      <c r="G34" s="15" t="str">
        <f t="shared" si="5"/>
        <v>ok</v>
      </c>
      <c r="H34" s="4" t="str">
        <f t="shared" si="6"/>
        <v xml:space="preserve"> </v>
      </c>
      <c r="I34" s="4" t="str">
        <f t="shared" si="7"/>
        <v xml:space="preserve"> </v>
      </c>
      <c r="J34" s="4" t="str">
        <f t="shared" si="8"/>
        <v>All given</v>
      </c>
      <c r="AA34" s="13">
        <v>46172</v>
      </c>
      <c r="AB34" t="s">
        <v>2</v>
      </c>
      <c r="AC34" t="s">
        <v>14</v>
      </c>
      <c r="AD34" t="s">
        <v>14</v>
      </c>
      <c r="AE34" t="s">
        <v>14</v>
      </c>
      <c r="AF34" t="s">
        <v>14</v>
      </c>
      <c r="AI34" t="s">
        <v>15</v>
      </c>
    </row>
    <row r="35" spans="2:35" x14ac:dyDescent="0.25">
      <c r="B35" s="3">
        <f t="shared" si="0"/>
        <v>46173</v>
      </c>
      <c r="C35" s="15" t="str">
        <f t="shared" si="1"/>
        <v>X</v>
      </c>
      <c r="D35" s="15" t="str">
        <f t="shared" si="2"/>
        <v>ok</v>
      </c>
      <c r="E35" s="15" t="str">
        <f t="shared" si="3"/>
        <v>ok</v>
      </c>
      <c r="F35" s="15" t="str">
        <f t="shared" si="4"/>
        <v>ok</v>
      </c>
      <c r="G35" s="15" t="str">
        <f t="shared" si="5"/>
        <v>ok</v>
      </c>
      <c r="H35" s="4" t="str">
        <f t="shared" si="6"/>
        <v xml:space="preserve"> </v>
      </c>
      <c r="I35" s="4" t="str">
        <f t="shared" si="7"/>
        <v xml:space="preserve"> </v>
      </c>
      <c r="J35" s="4" t="str">
        <f t="shared" si="8"/>
        <v>All given</v>
      </c>
      <c r="AA35" s="13">
        <v>46173</v>
      </c>
      <c r="AB35" t="s">
        <v>2</v>
      </c>
      <c r="AC35" t="s">
        <v>14</v>
      </c>
      <c r="AD35" t="s">
        <v>14</v>
      </c>
      <c r="AE35" t="s">
        <v>14</v>
      </c>
      <c r="AF35" t="s">
        <v>14</v>
      </c>
      <c r="AI35" t="s">
        <v>15</v>
      </c>
    </row>
    <row r="36" spans="2:35" x14ac:dyDescent="0.25">
      <c r="I36" s="24"/>
    </row>
    <row r="38" spans="2:35" x14ac:dyDescent="0.25">
      <c r="B38" t="s">
        <v>20</v>
      </c>
      <c r="I38" t="s">
        <v>21</v>
      </c>
    </row>
    <row r="39" spans="2:35" x14ac:dyDescent="0.25">
      <c r="B39" s="5"/>
      <c r="C39" s="6"/>
      <c r="D39" s="6"/>
      <c r="E39" s="6"/>
      <c r="F39" s="6"/>
      <c r="G39" s="6"/>
      <c r="H39" s="6"/>
      <c r="I39" s="5"/>
      <c r="J39" s="7"/>
    </row>
    <row r="40" spans="2:35" x14ac:dyDescent="0.25">
      <c r="B40" s="18" t="s">
        <v>22</v>
      </c>
      <c r="C40" t="s">
        <v>23</v>
      </c>
      <c r="I40" s="9" t="s">
        <v>24</v>
      </c>
      <c r="J40" s="10"/>
    </row>
    <row r="41" spans="2:35" x14ac:dyDescent="0.25">
      <c r="B41" s="18" t="s">
        <v>25</v>
      </c>
      <c r="C41" t="s">
        <v>26</v>
      </c>
      <c r="I41" s="8" t="s">
        <v>27</v>
      </c>
      <c r="J41" s="10" t="s">
        <v>28</v>
      </c>
    </row>
    <row r="42" spans="2:35" x14ac:dyDescent="0.25">
      <c r="B42" s="18" t="s">
        <v>29</v>
      </c>
      <c r="C42" t="s">
        <v>23</v>
      </c>
      <c r="I42" s="8" t="s">
        <v>30</v>
      </c>
      <c r="J42" s="10" t="s">
        <v>31</v>
      </c>
    </row>
    <row r="43" spans="2:35" x14ac:dyDescent="0.25">
      <c r="B43" s="18"/>
      <c r="C43" t="s">
        <v>32</v>
      </c>
      <c r="I43" s="8"/>
      <c r="J43" s="10"/>
    </row>
    <row r="44" spans="2:35" x14ac:dyDescent="0.25">
      <c r="B44" s="18" t="s">
        <v>33</v>
      </c>
      <c r="C44" t="s">
        <v>23</v>
      </c>
      <c r="I44" s="8"/>
      <c r="J44" s="10"/>
    </row>
    <row r="45" spans="2:35" x14ac:dyDescent="0.25">
      <c r="B45" s="18"/>
      <c r="C45" t="s">
        <v>32</v>
      </c>
      <c r="I45" s="8"/>
      <c r="J45" s="10"/>
    </row>
    <row r="46" spans="2:35" x14ac:dyDescent="0.25">
      <c r="B46" s="18" t="s">
        <v>34</v>
      </c>
      <c r="C46" t="s">
        <v>23</v>
      </c>
      <c r="I46" s="8"/>
      <c r="J46" s="10"/>
    </row>
    <row r="47" spans="2:35" x14ac:dyDescent="0.25">
      <c r="B47" s="11"/>
      <c r="C47" s="2"/>
      <c r="D47" s="2"/>
      <c r="E47" s="2"/>
      <c r="F47" s="2"/>
      <c r="G47" s="2"/>
      <c r="H47" s="2"/>
      <c r="I47" s="11"/>
      <c r="J47" s="12"/>
    </row>
    <row r="49" spans="2:10" x14ac:dyDescent="0.25">
      <c r="B49" s="5" t="s">
        <v>35</v>
      </c>
      <c r="C49" s="6"/>
      <c r="D49" s="6"/>
      <c r="E49" s="6"/>
      <c r="F49" s="6"/>
      <c r="G49" s="6"/>
      <c r="H49" s="6"/>
      <c r="I49" s="6"/>
      <c r="J49" s="7"/>
    </row>
    <row r="50" spans="2:10" x14ac:dyDescent="0.25">
      <c r="B50" s="18"/>
      <c r="C50" t="s">
        <v>36</v>
      </c>
      <c r="J50" s="10"/>
    </row>
    <row r="51" spans="2:10" x14ac:dyDescent="0.25">
      <c r="B51" s="18"/>
      <c r="C51" t="s">
        <v>37</v>
      </c>
      <c r="J51" s="10"/>
    </row>
    <row r="52" spans="2:10" x14ac:dyDescent="0.25">
      <c r="B52" s="18"/>
      <c r="J52" s="10"/>
    </row>
    <row r="53" spans="2:10" x14ac:dyDescent="0.25">
      <c r="B53" s="18"/>
      <c r="C53" t="s">
        <v>38</v>
      </c>
      <c r="J53" s="10"/>
    </row>
    <row r="54" spans="2:10" x14ac:dyDescent="0.25">
      <c r="B54" s="11"/>
      <c r="C54" s="2"/>
      <c r="D54" s="2"/>
      <c r="E54" s="2"/>
      <c r="F54" s="2"/>
      <c r="G54" s="2"/>
      <c r="H54" s="2"/>
      <c r="I54" s="2"/>
      <c r="J54" s="12"/>
    </row>
    <row r="56" spans="2:10" ht="15.75" customHeight="1" thickBot="1" x14ac:dyDescent="0.3">
      <c r="B56" s="17"/>
      <c r="C56" s="17"/>
      <c r="D56" s="17"/>
      <c r="E56" s="17"/>
      <c r="F56" s="17"/>
      <c r="G56" s="17"/>
      <c r="H56" s="17"/>
      <c r="I56" s="17"/>
      <c r="J56" s="17"/>
    </row>
    <row r="57" spans="2:10" ht="15.75" customHeight="1" thickTop="1" x14ac:dyDescent="0.25"/>
    <row r="74" spans="2:10" x14ac:dyDescent="0.25">
      <c r="B74" t="s">
        <v>39</v>
      </c>
      <c r="I74" t="s">
        <v>40</v>
      </c>
    </row>
    <row r="75" spans="2:10" x14ac:dyDescent="0.25">
      <c r="B75" s="23" t="s">
        <v>22</v>
      </c>
      <c r="C75" s="6" t="s">
        <v>41</v>
      </c>
      <c r="D75" s="6"/>
      <c r="E75" s="6"/>
      <c r="F75" s="6"/>
      <c r="G75" s="6"/>
      <c r="H75" s="7"/>
      <c r="I75" s="5"/>
      <c r="J75" s="7"/>
    </row>
    <row r="76" spans="2:10" x14ac:dyDescent="0.25">
      <c r="B76" s="18"/>
      <c r="C76" t="s">
        <v>42</v>
      </c>
      <c r="I76" s="9"/>
      <c r="J76" s="10"/>
    </row>
    <row r="77" spans="2:10" x14ac:dyDescent="0.25">
      <c r="B77" s="18"/>
      <c r="C77" s="19" t="s">
        <v>43</v>
      </c>
      <c r="D77" s="19"/>
      <c r="E77" s="19"/>
      <c r="F77" s="19"/>
      <c r="G77" s="19"/>
      <c r="H77" s="20"/>
      <c r="I77" s="18" t="s">
        <v>44</v>
      </c>
      <c r="J77" s="10"/>
    </row>
    <row r="78" spans="2:10" x14ac:dyDescent="0.25">
      <c r="B78" s="18" t="s">
        <v>29</v>
      </c>
      <c r="C78" t="s">
        <v>45</v>
      </c>
      <c r="I78" s="8"/>
      <c r="J78" s="10"/>
    </row>
    <row r="79" spans="2:10" x14ac:dyDescent="0.25">
      <c r="B79" s="18"/>
      <c r="C79" s="19" t="s">
        <v>46</v>
      </c>
      <c r="D79" s="19"/>
      <c r="E79" s="19"/>
      <c r="F79" s="19"/>
      <c r="G79" s="19"/>
      <c r="H79" s="20"/>
      <c r="I79" s="8"/>
      <c r="J79" s="10"/>
    </row>
    <row r="80" spans="2:10" x14ac:dyDescent="0.25">
      <c r="B80" s="18" t="s">
        <v>33</v>
      </c>
      <c r="C80" t="s">
        <v>45</v>
      </c>
      <c r="I80" s="8"/>
      <c r="J80" s="10"/>
    </row>
    <row r="81" spans="2:10" x14ac:dyDescent="0.25">
      <c r="B81" s="18"/>
      <c r="C81" s="19" t="s">
        <v>46</v>
      </c>
      <c r="D81" s="19"/>
      <c r="E81" s="19"/>
      <c r="F81" s="19"/>
      <c r="G81" s="19"/>
      <c r="H81" s="20"/>
      <c r="I81" s="8"/>
      <c r="J81" s="10"/>
    </row>
    <row r="82" spans="2:10" x14ac:dyDescent="0.25">
      <c r="B82" s="18" t="s">
        <v>34</v>
      </c>
      <c r="C82" t="s">
        <v>42</v>
      </c>
      <c r="I82" s="8"/>
      <c r="J82" s="10"/>
    </row>
    <row r="83" spans="2:10" x14ac:dyDescent="0.25">
      <c r="B83" s="18"/>
      <c r="C83" t="s">
        <v>47</v>
      </c>
      <c r="H83" s="10"/>
      <c r="I83" s="8"/>
      <c r="J83" s="10"/>
    </row>
    <row r="84" spans="2:10" x14ac:dyDescent="0.25">
      <c r="B84" s="11"/>
      <c r="C84" s="2"/>
      <c r="D84" s="2"/>
      <c r="E84" s="2"/>
      <c r="F84" s="2"/>
      <c r="G84" s="2"/>
      <c r="H84" s="12"/>
      <c r="I84" s="11"/>
      <c r="J84" s="12"/>
    </row>
  </sheetData>
  <conditionalFormatting sqref="C5:G35">
    <cfRule type="cellIs" dxfId="3" priority="1" operator="equal">
      <formula>0</formula>
    </cfRule>
    <cfRule type="cellIs" dxfId="2" priority="2" operator="equal">
      <formula>"ok"</formula>
    </cfRule>
    <cfRule type="cellIs" dxfId="1" priority="4" operator="equal">
      <formula>"X"</formula>
    </cfRule>
  </conditionalFormatting>
  <conditionalFormatting sqref="D2">
    <cfRule type="cellIs" dxfId="0" priority="3" operator="equal">
      <formula>"X"</formula>
    </cfRule>
  </conditionalFormatting>
  <pageMargins left="0.25" right="0.25" top="0.75" bottom="0.75" header="0.3" footer="0.3"/>
  <pageSetup scale="7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Month View</vt:lpstr>
      <vt:lpstr>data_anchor</vt:lpstr>
      <vt:lpstr>'Month View'!Print_Area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 Reese</dc:creator>
  <cp:lastModifiedBy>Rand Reese</cp:lastModifiedBy>
  <cp:lastPrinted>2026-06-04T01:39:39Z</cp:lastPrinted>
  <dcterms:created xsi:type="dcterms:W3CDTF">2026-06-02T16:39:15Z</dcterms:created>
  <dcterms:modified xsi:type="dcterms:W3CDTF">2026-06-04T01:41:53Z</dcterms:modified>
</cp:coreProperties>
</file>